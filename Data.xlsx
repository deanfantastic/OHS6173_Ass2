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_\Documents\GitHub\OHS6173_Ass2\"/>
    </mc:Choice>
  </mc:AlternateContent>
  <xr:revisionPtr revIDLastSave="0" documentId="13_ncr:1_{24EBC3C9-D522-4178-B317-6D6B571D28D1}" xr6:coauthVersionLast="47" xr6:coauthVersionMax="47" xr10:uidLastSave="{00000000-0000-0000-0000-000000000000}"/>
  <bookViews>
    <workbookView xWindow="-108" yWindow="-108" windowWidth="30936" windowHeight="12576" activeTab="1" xr2:uid="{D5F13A0F-0850-4F10-973D-9CA7B9BBA251}"/>
  </bookViews>
  <sheets>
    <sheet name="data" sheetId="1" r:id="rId1"/>
    <sheet name="roster" sheetId="3" r:id="rId2"/>
    <sheet name="W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2" i="3"/>
  <c r="E3" i="3"/>
  <c r="E4" i="3"/>
  <c r="E5" i="3"/>
  <c r="E2" i="3"/>
</calcChain>
</file>

<file path=xl/sharedStrings.xml><?xml version="1.0" encoding="utf-8"?>
<sst xmlns="http://schemas.openxmlformats.org/spreadsheetml/2006/main" count="90" uniqueCount="36">
  <si>
    <t>Open-cut Mine Production</t>
  </si>
  <si>
    <t>Open-Cut Loading &amp; Transport</t>
  </si>
  <si>
    <t>Maintenance crew</t>
  </si>
  <si>
    <t>Mobile plant</t>
  </si>
  <si>
    <t>RES</t>
  </si>
  <si>
    <t>SIL</t>
  </si>
  <si>
    <t>DPM_E</t>
  </si>
  <si>
    <t>DPM_T</t>
  </si>
  <si>
    <t>Mn</t>
  </si>
  <si>
    <t>Fe</t>
  </si>
  <si>
    <t>Mg</t>
  </si>
  <si>
    <t>INH</t>
  </si>
  <si>
    <t>AreaWorked</t>
  </si>
  <si>
    <t>agent</t>
  </si>
  <si>
    <t>WES</t>
  </si>
  <si>
    <t>LOD</t>
  </si>
  <si>
    <t>Comment</t>
  </si>
  <si>
    <t>MSIR</t>
  </si>
  <si>
    <t>Safework Aust</t>
  </si>
  <si>
    <t>0.1 https://www.dmp.wa.gov.au/Documents/Safety/MS_IS_FAQ_WESDPM.pdf</t>
  </si>
  <si>
    <t>https://nj.gov/health/eoh/rtkweb/documents/fs/1036.pdf</t>
  </si>
  <si>
    <t>https://nj.gov/health/eoh/rtkweb/documents/fs/1136.pdf</t>
  </si>
  <si>
    <t>https://www.aioh.org.au/resources/publications1/epublications/aioh-position-paper-diesel-particulate-matter-and-occupational-health-published</t>
  </si>
  <si>
    <t>adj_cat</t>
  </si>
  <si>
    <t>Comment 2</t>
  </si>
  <si>
    <t>adj from IRSST guide</t>
  </si>
  <si>
    <t>adj from DMIRS</t>
  </si>
  <si>
    <t>https://gestis-database.dguv.de/data?name=007120</t>
  </si>
  <si>
    <t>adj form safework</t>
  </si>
  <si>
    <t>adj form DMIRS</t>
  </si>
  <si>
    <t>shift_hrs</t>
  </si>
  <si>
    <t>roster_on</t>
  </si>
  <si>
    <t>roster_off</t>
  </si>
  <si>
    <t>adj</t>
  </si>
  <si>
    <t>SEG</t>
  </si>
  <si>
    <t>hr_week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</si>
</sst>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7F63-C3CB-4C0E-B620-BB691A0799E4}">
  <dimension ref="A1:I42"/>
  <sheetViews>
    <sheetView workbookViewId="0">
      <pane ySplit="1" topLeftCell="A15" activePane="bottomLeft" state="frozenSplit"/>
      <selection pane="bottomLeft" activeCell="A10" sqref="A10:A39"/>
    </sheetView>
  </sheetViews>
  <sheetFormatPr defaultRowHeight="14.4" x14ac:dyDescent="0.3"/>
  <cols>
    <col min="1" max="1" width="26.109375" bestFit="1" customWidth="1"/>
    <col min="2" max="3" width="13.6640625" bestFit="1" customWidth="1"/>
    <col min="4" max="4" width="10" customWidth="1"/>
    <col min="5" max="5" width="14.5546875" customWidth="1"/>
    <col min="6" max="9" width="12.5546875" bestFit="1" customWidth="1"/>
  </cols>
  <sheetData>
    <row r="1" spans="1:9" x14ac:dyDescent="0.3">
      <c r="A1" t="s">
        <v>12</v>
      </c>
      <c r="B1" t="s">
        <v>4</v>
      </c>
      <c r="C1" t="s">
        <v>5</v>
      </c>
      <c r="D1" t="s">
        <v>6</v>
      </c>
      <c r="E1" t="s">
        <v>7</v>
      </c>
      <c r="F1" t="s">
        <v>11</v>
      </c>
      <c r="G1" t="s">
        <v>8</v>
      </c>
      <c r="H1" t="s">
        <v>9</v>
      </c>
      <c r="I1" t="s">
        <v>10</v>
      </c>
    </row>
    <row r="2" spans="1:9" x14ac:dyDescent="0.3">
      <c r="A2" t="s">
        <v>0</v>
      </c>
      <c r="B2">
        <v>0.80800000000000005</v>
      </c>
      <c r="C2">
        <v>1.2E-2</v>
      </c>
      <c r="D2">
        <v>3.7999999999999999E-2</v>
      </c>
      <c r="E2">
        <v>0.10199999999999999</v>
      </c>
      <c r="F2">
        <v>1.21</v>
      </c>
      <c r="G2">
        <v>9.5000000000000001E-2</v>
      </c>
      <c r="H2">
        <v>3.0000000000000001E-3</v>
      </c>
      <c r="I2">
        <v>8.7999999999999995E-2</v>
      </c>
    </row>
    <row r="3" spans="1:9" x14ac:dyDescent="0.3">
      <c r="A3" t="s">
        <v>0</v>
      </c>
      <c r="B3">
        <v>0.88800000000000001</v>
      </c>
      <c r="C3">
        <v>1.9E-2</v>
      </c>
      <c r="D3">
        <v>8.2000000000000003E-2</v>
      </c>
      <c r="E3">
        <v>0.21299999999999999</v>
      </c>
      <c r="F3">
        <v>2.2667999999999999</v>
      </c>
      <c r="G3">
        <v>0.159</v>
      </c>
      <c r="H3">
        <v>6.6E-3</v>
      </c>
      <c r="I3">
        <v>6.3E-2</v>
      </c>
    </row>
    <row r="4" spans="1:9" x14ac:dyDescent="0.3">
      <c r="A4" t="s">
        <v>0</v>
      </c>
      <c r="B4">
        <v>0.16600000000000001</v>
      </c>
      <c r="C4">
        <v>5.0000000000000001E-3</v>
      </c>
      <c r="D4">
        <v>9.1999999999999998E-2</v>
      </c>
      <c r="E4">
        <v>0.192</v>
      </c>
      <c r="F4">
        <v>0.66379999999999995</v>
      </c>
      <c r="G4">
        <v>3.6600000000000001E-2</v>
      </c>
      <c r="H4">
        <v>3.0000000000000001E-3</v>
      </c>
      <c r="I4">
        <v>9.4E-2</v>
      </c>
    </row>
    <row r="5" spans="1:9" x14ac:dyDescent="0.3">
      <c r="A5" t="s">
        <v>0</v>
      </c>
      <c r="B5">
        <v>1.0549999999999999</v>
      </c>
      <c r="C5">
        <v>5.0000000000000001E-3</v>
      </c>
      <c r="D5">
        <v>1.66E-2</v>
      </c>
      <c r="E5">
        <v>5.1999999999999998E-2</v>
      </c>
      <c r="F5">
        <v>1.083</v>
      </c>
      <c r="G5">
        <v>3.9E-2</v>
      </c>
      <c r="H5">
        <v>3.0000000000000001E-3</v>
      </c>
      <c r="I5">
        <v>0.02</v>
      </c>
    </row>
    <row r="6" spans="1:9" x14ac:dyDescent="0.3">
      <c r="A6" t="s">
        <v>0</v>
      </c>
      <c r="B6">
        <v>0.59899999999999998</v>
      </c>
      <c r="C6">
        <v>1.2E-2</v>
      </c>
      <c r="D6">
        <v>6.6500000000000004E-2</v>
      </c>
      <c r="E6">
        <v>2.8000000000000001E-2</v>
      </c>
      <c r="F6">
        <v>1.661</v>
      </c>
      <c r="G6">
        <v>9.1999999999999998E-2</v>
      </c>
      <c r="H6">
        <v>2E-3</v>
      </c>
      <c r="I6">
        <v>9.0999999999999998E-2</v>
      </c>
    </row>
    <row r="7" spans="1:9" x14ac:dyDescent="0.3">
      <c r="A7" t="s">
        <v>0</v>
      </c>
      <c r="B7">
        <v>1.1850000000000001</v>
      </c>
      <c r="C7">
        <v>1.0999999999999999E-2</v>
      </c>
      <c r="D7">
        <v>0.05</v>
      </c>
      <c r="E7">
        <v>0.2</v>
      </c>
      <c r="F7">
        <v>2.802</v>
      </c>
      <c r="G7">
        <v>0.108</v>
      </c>
      <c r="H7">
        <v>8.0000000000000002E-3</v>
      </c>
      <c r="I7">
        <v>4.9000000000000002E-2</v>
      </c>
    </row>
    <row r="8" spans="1:9" x14ac:dyDescent="0.3">
      <c r="A8" t="s">
        <v>0</v>
      </c>
      <c r="B8">
        <v>0.15</v>
      </c>
      <c r="C8">
        <v>1.2999999999999999E-2</v>
      </c>
      <c r="D8">
        <v>5.8999999999999997E-2</v>
      </c>
      <c r="E8">
        <v>0.192</v>
      </c>
      <c r="F8">
        <v>0.98</v>
      </c>
      <c r="G8">
        <v>9.2999999999999999E-2</v>
      </c>
      <c r="H8">
        <v>2E-3</v>
      </c>
      <c r="I8">
        <v>8.9999999999999993E-3</v>
      </c>
    </row>
    <row r="9" spans="1:9" x14ac:dyDescent="0.3">
      <c r="A9" t="s">
        <v>0</v>
      </c>
      <c r="B9">
        <v>1.3866000000000001</v>
      </c>
      <c r="C9">
        <v>2.1999999999999999E-2</v>
      </c>
      <c r="D9">
        <v>1.2E-2</v>
      </c>
      <c r="E9">
        <v>9.9000000000000005E-2</v>
      </c>
      <c r="F9">
        <v>0.93899999999999995</v>
      </c>
      <c r="G9">
        <v>2.8000000000000001E-2</v>
      </c>
      <c r="H9">
        <v>8.9999999999999993E-3</v>
      </c>
      <c r="I9">
        <v>5.6599999999999998E-2</v>
      </c>
    </row>
    <row r="10" spans="1:9" x14ac:dyDescent="0.3">
      <c r="A10" t="s">
        <v>0</v>
      </c>
      <c r="B10">
        <v>0.58299999999999996</v>
      </c>
      <c r="C10">
        <v>8.0000000000000002E-3</v>
      </c>
      <c r="D10">
        <v>2.8000000000000001E-2</v>
      </c>
      <c r="E10">
        <v>0.159</v>
      </c>
      <c r="F10">
        <v>2.0880000000000001</v>
      </c>
      <c r="G10">
        <v>3.2000000000000001E-2</v>
      </c>
      <c r="H10">
        <v>2E-3</v>
      </c>
      <c r="I10">
        <v>5.3999999999999999E-2</v>
      </c>
    </row>
    <row r="11" spans="1:9" x14ac:dyDescent="0.3">
      <c r="A11" t="s">
        <v>0</v>
      </c>
      <c r="B11">
        <v>0.12</v>
      </c>
      <c r="C11">
        <v>5.0000000000000001E-3</v>
      </c>
      <c r="D11">
        <v>8.3000000000000004E-2</v>
      </c>
      <c r="E11">
        <v>2.5000000000000001E-2</v>
      </c>
      <c r="F11">
        <v>0.83799999999999997</v>
      </c>
      <c r="G11">
        <v>5.1999999999999998E-2</v>
      </c>
      <c r="H11">
        <v>3.0000000000000001E-3</v>
      </c>
      <c r="I11">
        <v>3.6600000000000001E-2</v>
      </c>
    </row>
    <row r="12" spans="1:9" x14ac:dyDescent="0.3">
      <c r="A12" t="s">
        <v>0</v>
      </c>
      <c r="B12">
        <v>1.9390000000000001</v>
      </c>
      <c r="C12">
        <v>5.0000000000000001E-3</v>
      </c>
      <c r="D12">
        <v>1.9E-2</v>
      </c>
      <c r="E12">
        <v>8.3000000000000004E-2</v>
      </c>
      <c r="F12">
        <v>0.98799999999999999</v>
      </c>
      <c r="G12">
        <v>3.2000000000000001E-2</v>
      </c>
      <c r="H12">
        <v>2E-3</v>
      </c>
      <c r="I12">
        <v>3.3000000000000002E-2</v>
      </c>
    </row>
    <row r="13" spans="1:9" x14ac:dyDescent="0.3">
      <c r="A13" t="s">
        <v>0</v>
      </c>
      <c r="B13">
        <v>0.89200000000000002</v>
      </c>
      <c r="C13">
        <v>6.6E-3</v>
      </c>
      <c r="D13">
        <v>5.5E-2</v>
      </c>
      <c r="E13">
        <v>0.16619999999999999</v>
      </c>
      <c r="F13">
        <v>2.2290000000000001</v>
      </c>
      <c r="G13">
        <v>2.1000000000000001E-2</v>
      </c>
      <c r="H13">
        <v>2E-3</v>
      </c>
      <c r="I13">
        <v>6.6659999999999997E-2</v>
      </c>
    </row>
    <row r="14" spans="1:9" x14ac:dyDescent="0.3">
      <c r="A14" t="s">
        <v>1</v>
      </c>
      <c r="B14">
        <v>0.53200000000000003</v>
      </c>
      <c r="C14">
        <v>1.9E-2</v>
      </c>
      <c r="D14">
        <v>1.66E-2</v>
      </c>
      <c r="E14">
        <v>8.1000000000000003E-2</v>
      </c>
      <c r="F14">
        <v>2.2210000000000001</v>
      </c>
      <c r="G14">
        <v>0.21199999999999999</v>
      </c>
      <c r="H14">
        <v>1.9E-2</v>
      </c>
      <c r="I14">
        <v>1.0999999999999999E-2</v>
      </c>
    </row>
    <row r="15" spans="1:9" x14ac:dyDescent="0.3">
      <c r="A15" t="s">
        <v>1</v>
      </c>
      <c r="B15">
        <v>0.66279999999999994</v>
      </c>
      <c r="C15">
        <v>2.5000000000000001E-2</v>
      </c>
      <c r="D15">
        <v>8.9999999999999993E-3</v>
      </c>
      <c r="E15">
        <v>3.2000000000000001E-2</v>
      </c>
      <c r="F15">
        <v>1.66662</v>
      </c>
      <c r="G15">
        <v>0.13200000000000001</v>
      </c>
      <c r="H15">
        <v>5.0000000000000001E-3</v>
      </c>
      <c r="I15">
        <v>8.1000000000000003E-2</v>
      </c>
    </row>
    <row r="16" spans="1:9" x14ac:dyDescent="0.3">
      <c r="A16" t="s">
        <v>1</v>
      </c>
      <c r="B16">
        <v>0.28000000000000003</v>
      </c>
      <c r="C16">
        <v>1.2E-2</v>
      </c>
      <c r="D16">
        <v>1.7999999999999999E-2</v>
      </c>
      <c r="E16">
        <v>8.7999999999999995E-2</v>
      </c>
      <c r="F16">
        <v>0.255</v>
      </c>
      <c r="G16">
        <v>3.3000000000000002E-2</v>
      </c>
      <c r="H16">
        <v>1.2E-2</v>
      </c>
      <c r="I16">
        <v>4.9000000000000002E-2</v>
      </c>
    </row>
    <row r="17" spans="1:9" x14ac:dyDescent="0.3">
      <c r="A17" t="s">
        <v>1</v>
      </c>
      <c r="B17">
        <v>9.1999999999999998E-2</v>
      </c>
      <c r="C17">
        <v>1E-3</v>
      </c>
      <c r="D17">
        <v>3.5000000000000003E-2</v>
      </c>
      <c r="E17">
        <v>0.128</v>
      </c>
      <c r="F17">
        <v>2.1520000000000001</v>
      </c>
      <c r="G17">
        <v>5.1999999999999998E-2</v>
      </c>
      <c r="H17">
        <v>2E-3</v>
      </c>
      <c r="I17">
        <v>6.6500000000000004E-2</v>
      </c>
    </row>
    <row r="18" spans="1:9" x14ac:dyDescent="0.3">
      <c r="A18" t="s">
        <v>1</v>
      </c>
      <c r="B18">
        <v>0.29659999999999997</v>
      </c>
      <c r="C18">
        <v>3.9E-2</v>
      </c>
      <c r="D18">
        <v>2.1000000000000001E-2</v>
      </c>
      <c r="E18">
        <v>9.1999999999999998E-2</v>
      </c>
      <c r="F18">
        <v>2.8580000000000001</v>
      </c>
      <c r="G18">
        <v>0.39500000000000002</v>
      </c>
      <c r="H18">
        <v>1.4999999999999999E-2</v>
      </c>
      <c r="I18">
        <v>5.8000000000000003E-2</v>
      </c>
    </row>
    <row r="19" spans="1:9" x14ac:dyDescent="0.3">
      <c r="A19" t="s">
        <v>1</v>
      </c>
      <c r="B19">
        <v>0.53800000000000003</v>
      </c>
      <c r="C19">
        <v>2.1000000000000001E-2</v>
      </c>
      <c r="D19">
        <v>8.9999999999999993E-3</v>
      </c>
      <c r="E19">
        <v>2.1999999999999999E-2</v>
      </c>
      <c r="F19">
        <v>1.9565999999999999</v>
      </c>
      <c r="G19">
        <v>0.1661</v>
      </c>
      <c r="H19">
        <v>2E-3</v>
      </c>
      <c r="I19">
        <v>3.0000000000000001E-3</v>
      </c>
    </row>
    <row r="20" spans="1:9" x14ac:dyDescent="0.3">
      <c r="A20" t="s">
        <v>1</v>
      </c>
      <c r="B20">
        <v>0.93659999999999999</v>
      </c>
      <c r="C20">
        <v>8.0000000000000002E-3</v>
      </c>
      <c r="D20">
        <v>8.9999999999999993E-3</v>
      </c>
      <c r="E20">
        <v>8.1000000000000003E-2</v>
      </c>
      <c r="F20">
        <v>0.28899999999999998</v>
      </c>
      <c r="G20">
        <v>2.8000000000000001E-2</v>
      </c>
      <c r="H20">
        <v>0.02</v>
      </c>
      <c r="I20">
        <v>4.0000000000000001E-3</v>
      </c>
    </row>
    <row r="21" spans="1:9" x14ac:dyDescent="0.3">
      <c r="A21" t="s">
        <v>1</v>
      </c>
      <c r="B21">
        <v>1.2909999999999999</v>
      </c>
      <c r="C21">
        <v>2E-3</v>
      </c>
      <c r="D21">
        <v>1.2E-2</v>
      </c>
      <c r="E21">
        <v>9.0999999999999998E-2</v>
      </c>
      <c r="F21">
        <v>0.88900000000000001</v>
      </c>
      <c r="G21">
        <v>2.1999999999999999E-2</v>
      </c>
      <c r="H21">
        <v>2E-3</v>
      </c>
      <c r="I21">
        <v>9.5000000000000001E-2</v>
      </c>
    </row>
    <row r="22" spans="1:9" x14ac:dyDescent="0.3">
      <c r="A22" t="s">
        <v>1</v>
      </c>
      <c r="B22">
        <v>0.51900000000000002</v>
      </c>
      <c r="C22">
        <v>1.0999999999999999E-2</v>
      </c>
      <c r="D22">
        <v>8.7999999999999995E-2</v>
      </c>
      <c r="E22">
        <v>0.18099999999999999</v>
      </c>
      <c r="F22">
        <v>1.9279999999999999</v>
      </c>
      <c r="G22">
        <v>5.8999999999999997E-2</v>
      </c>
      <c r="H22">
        <v>2E-3</v>
      </c>
      <c r="I22">
        <v>9.2999999999999999E-2</v>
      </c>
    </row>
    <row r="23" spans="1:9" x14ac:dyDescent="0.3">
      <c r="A23" t="s">
        <v>1</v>
      </c>
      <c r="B23">
        <v>0.66661999999999999</v>
      </c>
      <c r="C23">
        <v>2.9000000000000001E-2</v>
      </c>
      <c r="D23">
        <v>2.1999999999999999E-2</v>
      </c>
      <c r="E23">
        <v>0.183</v>
      </c>
      <c r="F23">
        <v>2.2879999999999998</v>
      </c>
      <c r="G23">
        <v>8.3000000000000004E-2</v>
      </c>
      <c r="H23">
        <v>6.6E-3</v>
      </c>
      <c r="I23">
        <v>6.0000000000000001E-3</v>
      </c>
    </row>
    <row r="24" spans="1:9" x14ac:dyDescent="0.3">
      <c r="A24" t="s">
        <v>1</v>
      </c>
      <c r="B24">
        <v>8.6599999999999996E-2</v>
      </c>
      <c r="C24">
        <v>4.0000000000000001E-3</v>
      </c>
      <c r="D24">
        <v>2.6599999999999999E-2</v>
      </c>
      <c r="E24">
        <v>0.153</v>
      </c>
      <c r="F24">
        <v>2.8050000000000002</v>
      </c>
      <c r="G24">
        <v>3.9E-2</v>
      </c>
      <c r="H24">
        <v>2E-3</v>
      </c>
      <c r="I24">
        <v>8.7999999999999995E-2</v>
      </c>
    </row>
    <row r="25" spans="1:9" x14ac:dyDescent="0.3">
      <c r="A25" t="s">
        <v>1</v>
      </c>
      <c r="B25">
        <v>1.8080000000000001</v>
      </c>
      <c r="C25">
        <v>1E-3</v>
      </c>
      <c r="D25">
        <v>1.2E-2</v>
      </c>
      <c r="E25">
        <v>9.8000000000000004E-2</v>
      </c>
      <c r="F25">
        <v>0.66668000000000005</v>
      </c>
      <c r="G25">
        <v>5.5E-2</v>
      </c>
      <c r="H25">
        <v>1E-3</v>
      </c>
      <c r="I25">
        <v>9.1999999999999998E-2</v>
      </c>
    </row>
    <row r="26" spans="1:9" x14ac:dyDescent="0.3">
      <c r="A26" t="s">
        <v>1</v>
      </c>
      <c r="B26">
        <v>0.59799999999999998</v>
      </c>
      <c r="C26">
        <v>1.2E-2</v>
      </c>
      <c r="D26">
        <v>9.0999999999999998E-2</v>
      </c>
      <c r="E26">
        <v>0.215</v>
      </c>
      <c r="F26">
        <v>1.288</v>
      </c>
      <c r="G26">
        <v>9.8000000000000004E-2</v>
      </c>
      <c r="H26">
        <v>5.0000000000000001E-3</v>
      </c>
      <c r="I26">
        <v>3.9E-2</v>
      </c>
    </row>
    <row r="27" spans="1:9" x14ac:dyDescent="0.3">
      <c r="A27" t="s">
        <v>1</v>
      </c>
      <c r="B27">
        <v>0.88100000000000001</v>
      </c>
      <c r="C27">
        <v>0.03</v>
      </c>
      <c r="D27">
        <v>3.3000000000000002E-2</v>
      </c>
      <c r="E27">
        <v>0.182</v>
      </c>
      <c r="F27">
        <v>2.0668000000000002</v>
      </c>
      <c r="G27">
        <v>0.113</v>
      </c>
      <c r="H27">
        <v>1.0999999999999999E-2</v>
      </c>
      <c r="I27">
        <v>6.2E-2</v>
      </c>
    </row>
    <row r="28" spans="1:9" x14ac:dyDescent="0.3">
      <c r="A28" t="s">
        <v>2</v>
      </c>
      <c r="B28">
        <v>0.66279999999999994</v>
      </c>
      <c r="C28">
        <v>2.5000000000000001E-2</v>
      </c>
      <c r="D28">
        <v>2.1999999999999999E-2</v>
      </c>
      <c r="E28">
        <v>6.6199999999999995E-2</v>
      </c>
      <c r="F28">
        <v>2.5019999999999998</v>
      </c>
      <c r="G28">
        <v>0.192</v>
      </c>
      <c r="H28">
        <v>8.0000000000000002E-3</v>
      </c>
      <c r="I28">
        <v>8.1000000000000003E-2</v>
      </c>
    </row>
    <row r="29" spans="1:9" x14ac:dyDescent="0.3">
      <c r="A29" t="s">
        <v>2</v>
      </c>
      <c r="B29">
        <v>0.28299999999999997</v>
      </c>
      <c r="C29">
        <v>1.2E-2</v>
      </c>
      <c r="D29">
        <v>3.5000000000000003E-2</v>
      </c>
      <c r="E29">
        <v>6.6799999999999998E-2</v>
      </c>
      <c r="F29">
        <v>2.02</v>
      </c>
      <c r="G29">
        <v>8.2000000000000003E-2</v>
      </c>
      <c r="H29">
        <v>5.0000000000000001E-3</v>
      </c>
      <c r="I29">
        <v>1.7999999999999999E-2</v>
      </c>
    </row>
    <row r="30" spans="1:9" x14ac:dyDescent="0.3">
      <c r="A30" t="s">
        <v>2</v>
      </c>
      <c r="B30">
        <v>1.0366</v>
      </c>
      <c r="C30">
        <v>3.5000000000000003E-2</v>
      </c>
      <c r="D30">
        <v>0.02</v>
      </c>
      <c r="E30">
        <v>0.214</v>
      </c>
      <c r="F30">
        <v>1.8009999999999999</v>
      </c>
      <c r="G30">
        <v>0.12</v>
      </c>
      <c r="H30">
        <v>1.4999999999999999E-2</v>
      </c>
      <c r="I30">
        <v>0.05</v>
      </c>
    </row>
    <row r="31" spans="1:9" x14ac:dyDescent="0.3">
      <c r="A31" t="s">
        <v>2</v>
      </c>
      <c r="B31">
        <v>0.80800000000000005</v>
      </c>
      <c r="C31">
        <v>2.8000000000000001E-2</v>
      </c>
      <c r="D31">
        <v>3.3000000000000002E-2</v>
      </c>
      <c r="E31">
        <v>8.3000000000000004E-2</v>
      </c>
      <c r="F31">
        <v>2.2879999999999998</v>
      </c>
      <c r="G31">
        <v>0.20200000000000001</v>
      </c>
      <c r="H31">
        <v>8.0000000000000002E-3</v>
      </c>
      <c r="I31">
        <v>5.2999999999999999E-2</v>
      </c>
    </row>
    <row r="32" spans="1:9" x14ac:dyDescent="0.3">
      <c r="A32" t="s">
        <v>2</v>
      </c>
      <c r="B32">
        <v>0.52</v>
      </c>
      <c r="C32">
        <v>0.01</v>
      </c>
      <c r="D32">
        <v>2.8000000000000001E-2</v>
      </c>
      <c r="E32">
        <v>0.10100000000000001</v>
      </c>
      <c r="F32">
        <v>1.6636599999999999</v>
      </c>
      <c r="G32">
        <v>0.115</v>
      </c>
      <c r="H32">
        <v>8.0000000000000002E-3</v>
      </c>
      <c r="I32">
        <v>6.6199999999999995E-2</v>
      </c>
    </row>
    <row r="33" spans="1:9" x14ac:dyDescent="0.3">
      <c r="A33" t="s">
        <v>2</v>
      </c>
      <c r="B33">
        <v>0.58199999999999996</v>
      </c>
      <c r="C33">
        <v>1.66E-2</v>
      </c>
      <c r="D33">
        <v>2.1999999999999999E-2</v>
      </c>
      <c r="E33">
        <v>0.112</v>
      </c>
      <c r="F33">
        <v>1.6830000000000001</v>
      </c>
      <c r="G33">
        <v>0.122</v>
      </c>
      <c r="H33">
        <v>8.0000000000000002E-3</v>
      </c>
      <c r="I33">
        <v>3.5999999999999997E-2</v>
      </c>
    </row>
    <row r="34" spans="1:9" x14ac:dyDescent="0.3">
      <c r="A34" t="s">
        <v>2</v>
      </c>
      <c r="B34">
        <v>0.55800000000000005</v>
      </c>
      <c r="C34">
        <v>6.6E-3</v>
      </c>
      <c r="D34">
        <v>8.0000000000000002E-3</v>
      </c>
      <c r="E34">
        <v>6.6100000000000006E-2</v>
      </c>
      <c r="F34">
        <v>0.20799999999999999</v>
      </c>
      <c r="G34">
        <v>5.1999999999999998E-3</v>
      </c>
      <c r="H34" s="1">
        <v>1E-3</v>
      </c>
      <c r="I34">
        <v>5.8000000000000003E-2</v>
      </c>
    </row>
    <row r="35" spans="1:9" x14ac:dyDescent="0.3">
      <c r="A35" t="s">
        <v>2</v>
      </c>
      <c r="B35">
        <v>2.6599999999999999E-2</v>
      </c>
      <c r="C35" s="1">
        <v>5.0000000000000001E-3</v>
      </c>
      <c r="D35">
        <v>2.1999999999999999E-2</v>
      </c>
      <c r="E35">
        <v>8.6599999999999996E-2</v>
      </c>
      <c r="F35">
        <v>1.8663000000000001</v>
      </c>
      <c r="G35">
        <v>6.6199999999999995E-2</v>
      </c>
      <c r="H35">
        <v>5.0000000000000001E-3</v>
      </c>
      <c r="I35">
        <v>0.02</v>
      </c>
    </row>
    <row r="36" spans="1:9" x14ac:dyDescent="0.3">
      <c r="A36" t="s">
        <v>2</v>
      </c>
      <c r="B36">
        <v>0.8266</v>
      </c>
      <c r="C36">
        <v>3.2000000000000001E-2</v>
      </c>
      <c r="D36">
        <v>2.8000000000000001E-2</v>
      </c>
      <c r="E36">
        <v>0.112</v>
      </c>
      <c r="F36">
        <v>3.3879999999999999</v>
      </c>
      <c r="G36">
        <v>0.10199999999999999</v>
      </c>
      <c r="H36">
        <v>5.0000000000000001E-3</v>
      </c>
      <c r="I36">
        <v>6.5000000000000002E-2</v>
      </c>
    </row>
    <row r="37" spans="1:9" x14ac:dyDescent="0.3">
      <c r="A37" t="s">
        <v>3</v>
      </c>
      <c r="B37">
        <v>0.218</v>
      </c>
      <c r="C37">
        <v>0.08</v>
      </c>
      <c r="D37">
        <v>0.14299999999999999</v>
      </c>
      <c r="E37">
        <v>0.125</v>
      </c>
    </row>
    <row r="38" spans="1:9" x14ac:dyDescent="0.3">
      <c r="A38" t="s">
        <v>3</v>
      </c>
      <c r="B38">
        <v>0.221</v>
      </c>
      <c r="C38" s="1">
        <v>5.0000000000000001E-3</v>
      </c>
      <c r="D38">
        <v>1.9E-2</v>
      </c>
      <c r="E38">
        <v>0.14299999999999999</v>
      </c>
    </row>
    <row r="39" spans="1:9" x14ac:dyDescent="0.3">
      <c r="A39" t="s">
        <v>3</v>
      </c>
      <c r="B39">
        <v>0.82099999999999995</v>
      </c>
      <c r="C39" s="1">
        <v>5.0000000000000001E-3</v>
      </c>
      <c r="D39">
        <v>5.5E-2</v>
      </c>
      <c r="E39">
        <v>0.16619999999999999</v>
      </c>
    </row>
    <row r="40" spans="1:9" x14ac:dyDescent="0.3">
      <c r="A40" t="s">
        <v>3</v>
      </c>
      <c r="B40">
        <v>0.32800000000000001</v>
      </c>
      <c r="C40">
        <v>0.05</v>
      </c>
      <c r="D40">
        <v>0.1166</v>
      </c>
      <c r="E40">
        <v>4.1000000000000002E-2</v>
      </c>
    </row>
    <row r="41" spans="1:9" x14ac:dyDescent="0.3">
      <c r="A41" t="s">
        <v>3</v>
      </c>
      <c r="B41">
        <v>0.46800000000000003</v>
      </c>
      <c r="C41">
        <v>0.06</v>
      </c>
      <c r="D41">
        <v>0.1</v>
      </c>
      <c r="E41">
        <v>0.13200000000000001</v>
      </c>
    </row>
    <row r="42" spans="1:9" x14ac:dyDescent="0.3">
      <c r="A42" t="s">
        <v>3</v>
      </c>
      <c r="B42">
        <v>0.23799999999999999</v>
      </c>
      <c r="C42" s="1">
        <v>5.0000000000000001E-3</v>
      </c>
      <c r="D42">
        <v>6.6000000000000003E-2</v>
      </c>
      <c r="E42">
        <v>6.4000000000000001E-2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9439-CB28-4245-BEFA-863B8AC2D1CB}">
  <dimension ref="A1:F5"/>
  <sheetViews>
    <sheetView tabSelected="1" workbookViewId="0">
      <selection activeCell="H3" sqref="H3"/>
    </sheetView>
  </sheetViews>
  <sheetFormatPr defaultRowHeight="14.4" x14ac:dyDescent="0.3"/>
  <cols>
    <col min="1" max="1" width="27" customWidth="1"/>
    <col min="3" max="3" width="10.5546875" customWidth="1"/>
    <col min="4" max="5" width="10.109375" customWidth="1"/>
  </cols>
  <sheetData>
    <row r="1" spans="1:6" x14ac:dyDescent="0.3">
      <c r="A1" t="s">
        <v>34</v>
      </c>
      <c r="B1" t="s">
        <v>30</v>
      </c>
      <c r="C1" t="s">
        <v>31</v>
      </c>
      <c r="D1" t="s">
        <v>32</v>
      </c>
      <c r="E1" t="s">
        <v>35</v>
      </c>
      <c r="F1" t="s">
        <v>33</v>
      </c>
    </row>
    <row r="2" spans="1:6" x14ac:dyDescent="0.3">
      <c r="A2" t="s">
        <v>0</v>
      </c>
      <c r="B2">
        <v>12</v>
      </c>
      <c r="C2">
        <v>8</v>
      </c>
      <c r="D2">
        <v>6</v>
      </c>
      <c r="E2">
        <f>B2*C2*(7/SUM(C2:D2))</f>
        <v>48</v>
      </c>
      <c r="F2">
        <f>40/E2</f>
        <v>0.83333333333333337</v>
      </c>
    </row>
    <row r="3" spans="1:6" x14ac:dyDescent="0.3">
      <c r="A3" t="s">
        <v>1</v>
      </c>
      <c r="B3">
        <v>12</v>
      </c>
      <c r="C3">
        <v>8</v>
      </c>
      <c r="D3">
        <v>6</v>
      </c>
      <c r="E3">
        <f t="shared" ref="E3:E5" si="0">B3*C3*(7/SUM(C3:D3))</f>
        <v>48</v>
      </c>
      <c r="F3">
        <f t="shared" ref="F3:F5" si="1">40/E3</f>
        <v>0.83333333333333337</v>
      </c>
    </row>
    <row r="4" spans="1:6" x14ac:dyDescent="0.3">
      <c r="A4" t="s">
        <v>2</v>
      </c>
      <c r="B4">
        <v>12</v>
      </c>
      <c r="C4">
        <v>8</v>
      </c>
      <c r="D4">
        <v>6</v>
      </c>
      <c r="E4">
        <f t="shared" si="0"/>
        <v>48</v>
      </c>
      <c r="F4">
        <f t="shared" si="1"/>
        <v>0.83333333333333337</v>
      </c>
    </row>
    <row r="5" spans="1:6" x14ac:dyDescent="0.3">
      <c r="A5" t="s">
        <v>3</v>
      </c>
      <c r="B5">
        <v>12</v>
      </c>
      <c r="C5">
        <v>8</v>
      </c>
      <c r="D5">
        <v>6</v>
      </c>
      <c r="E5">
        <f t="shared" si="0"/>
        <v>48</v>
      </c>
      <c r="F5">
        <f t="shared" si="1"/>
        <v>0.83333333333333337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7CF7-DB59-427B-8652-79E90EE384AA}">
  <dimension ref="A1:F9"/>
  <sheetViews>
    <sheetView workbookViewId="0">
      <selection activeCell="F4" sqref="F4"/>
    </sheetView>
  </sheetViews>
  <sheetFormatPr defaultRowHeight="14.4" x14ac:dyDescent="0.3"/>
  <cols>
    <col min="5" max="5" width="123.109375" bestFit="1" customWidth="1"/>
  </cols>
  <sheetData>
    <row r="1" spans="1:6" x14ac:dyDescent="0.3">
      <c r="A1" t="s">
        <v>13</v>
      </c>
      <c r="B1" t="s">
        <v>14</v>
      </c>
      <c r="C1" t="s">
        <v>15</v>
      </c>
      <c r="D1" t="s">
        <v>23</v>
      </c>
      <c r="E1" t="s">
        <v>16</v>
      </c>
      <c r="F1" t="s">
        <v>24</v>
      </c>
    </row>
    <row r="2" spans="1:6" x14ac:dyDescent="0.3">
      <c r="A2" t="s">
        <v>4</v>
      </c>
      <c r="B2">
        <v>3</v>
      </c>
      <c r="C2">
        <v>5.0000000000000001E-3</v>
      </c>
      <c r="D2">
        <v>3</v>
      </c>
      <c r="E2" t="s">
        <v>17</v>
      </c>
      <c r="F2" t="s">
        <v>29</v>
      </c>
    </row>
    <row r="3" spans="1:6" x14ac:dyDescent="0.3">
      <c r="A3" t="s">
        <v>5</v>
      </c>
      <c r="B3">
        <v>0.05</v>
      </c>
      <c r="C3">
        <v>5.0000000000000001E-3</v>
      </c>
      <c r="D3">
        <v>3</v>
      </c>
      <c r="E3" t="s">
        <v>18</v>
      </c>
      <c r="F3" t="s">
        <v>26</v>
      </c>
    </row>
    <row r="4" spans="1:6" x14ac:dyDescent="0.3">
      <c r="A4" t="s">
        <v>6</v>
      </c>
      <c r="B4">
        <v>0.1</v>
      </c>
      <c r="C4">
        <v>5.0000000000000001E-3</v>
      </c>
      <c r="D4">
        <v>3</v>
      </c>
      <c r="E4" t="s">
        <v>22</v>
      </c>
      <c r="F4" t="s">
        <v>25</v>
      </c>
    </row>
    <row r="5" spans="1:6" x14ac:dyDescent="0.3">
      <c r="A5" t="s">
        <v>7</v>
      </c>
      <c r="B5">
        <v>0.1</v>
      </c>
      <c r="C5">
        <v>0.01</v>
      </c>
      <c r="D5">
        <v>3</v>
      </c>
      <c r="E5" t="s">
        <v>19</v>
      </c>
      <c r="F5" t="s">
        <v>25</v>
      </c>
    </row>
    <row r="6" spans="1:6" x14ac:dyDescent="0.3">
      <c r="A6" t="s">
        <v>11</v>
      </c>
      <c r="B6">
        <v>10</v>
      </c>
      <c r="C6">
        <v>0.01</v>
      </c>
      <c r="D6">
        <v>3</v>
      </c>
      <c r="E6" t="s">
        <v>17</v>
      </c>
      <c r="F6" t="s">
        <v>27</v>
      </c>
    </row>
    <row r="7" spans="1:6" x14ac:dyDescent="0.3">
      <c r="A7" t="s">
        <v>8</v>
      </c>
      <c r="B7">
        <v>1</v>
      </c>
      <c r="C7">
        <v>2E-3</v>
      </c>
      <c r="D7">
        <v>3</v>
      </c>
      <c r="E7" t="s">
        <v>18</v>
      </c>
      <c r="F7" t="s">
        <v>26</v>
      </c>
    </row>
    <row r="8" spans="1:6" x14ac:dyDescent="0.3">
      <c r="A8" t="s">
        <v>9</v>
      </c>
      <c r="B8">
        <v>10</v>
      </c>
      <c r="C8">
        <v>1E-3</v>
      </c>
      <c r="D8">
        <v>3</v>
      </c>
      <c r="E8" t="s">
        <v>20</v>
      </c>
      <c r="F8" t="s">
        <v>28</v>
      </c>
    </row>
    <row r="9" spans="1:6" x14ac:dyDescent="0.3">
      <c r="A9" t="s">
        <v>10</v>
      </c>
      <c r="B9">
        <v>15</v>
      </c>
      <c r="C9">
        <v>2E-3</v>
      </c>
      <c r="E9" t="s">
        <v>21</v>
      </c>
      <c r="F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roster</vt:lpstr>
      <vt:lpstr>WES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Crouch</dc:creator>
  <cp:lastModifiedBy>Dean Crouch</cp:lastModifiedBy>
  <dcterms:created xsi:type="dcterms:W3CDTF">2021-10-27T23:18:13Z</dcterms:created>
  <dcterms:modified xsi:type="dcterms:W3CDTF">2021-10-30T23:25:49Z</dcterms:modified>
</cp:coreProperties>
</file>